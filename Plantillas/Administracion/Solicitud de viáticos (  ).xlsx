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21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alejandracastellanos/Documents/Duxstar/Institucional/Formatos/"/>
    </mc:Choice>
  </mc:AlternateContent>
  <bookViews>
    <workbookView xWindow="0" yWindow="460" windowWidth="28800" windowHeight="16540"/>
  </bookViews>
  <sheets>
    <sheet name="Solicitud" sheetId="2" r:id="rId1"/>
    <sheet name="Comprobación" sheetId="4" r:id="rId2"/>
    <sheet name="Hoja1" sheetId="3" state="hidden" r:id="rId3"/>
  </sheets>
  <definedNames>
    <definedName name="_xlnm.Print_Area" localSheetId="1">Comprobación!$A$1:$H$41</definedName>
    <definedName name="_xlnm.Print_Area" localSheetId="0">Solicitud!$A$1:$G$43</definedName>
  </definedName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7" i="4" l="1"/>
  <c r="C10" i="4"/>
  <c r="C9" i="4"/>
  <c r="C8" i="4"/>
  <c r="C7" i="4"/>
  <c r="H34" i="4"/>
  <c r="H35" i="4"/>
  <c r="G35" i="4"/>
  <c r="H30" i="4"/>
  <c r="H29" i="4"/>
  <c r="H28" i="4"/>
  <c r="H27" i="4"/>
  <c r="H32" i="4"/>
  <c r="H31" i="4"/>
  <c r="H16" i="4"/>
  <c r="H15" i="4"/>
  <c r="H33" i="4"/>
  <c r="C29" i="2"/>
</calcChain>
</file>

<file path=xl/sharedStrings.xml><?xml version="1.0" encoding="utf-8"?>
<sst xmlns="http://schemas.openxmlformats.org/spreadsheetml/2006/main" count="58" uniqueCount="49">
  <si>
    <t>Concepto</t>
  </si>
  <si>
    <t>Importe</t>
  </si>
  <si>
    <t>Días:</t>
  </si>
  <si>
    <t>Solicitante:</t>
  </si>
  <si>
    <t>Anexo 2</t>
  </si>
  <si>
    <t>Solicitud de gastos de viaje</t>
  </si>
  <si>
    <t>Noches de hotel:</t>
  </si>
  <si>
    <t>Proyecto:</t>
  </si>
  <si>
    <t>Alimentación:</t>
  </si>
  <si>
    <t>Hotel:</t>
  </si>
  <si>
    <t>Fecha de elaboración:</t>
  </si>
  <si>
    <t>Tipo de transporte:</t>
  </si>
  <si>
    <t>Autobus, avión, etc.</t>
  </si>
  <si>
    <t>Transporte:</t>
  </si>
  <si>
    <t>Taxi ciudad origen:</t>
  </si>
  <si>
    <t>Taxi ciudad destino:</t>
  </si>
  <si>
    <t>Total</t>
  </si>
  <si>
    <t>Depósito</t>
  </si>
  <si>
    <t>Banco:</t>
  </si>
  <si>
    <t>Clabe:</t>
  </si>
  <si>
    <t>Fecha de salida:</t>
  </si>
  <si>
    <t>Fecha de regreso:</t>
  </si>
  <si>
    <t>Ciudad de visita:</t>
  </si>
  <si>
    <t>Motivo del viaje:</t>
  </si>
  <si>
    <t>* en caso de ser diferente a la cuenta de nómina</t>
  </si>
  <si>
    <t>Enviar por correo electrónico a:</t>
  </si>
  <si>
    <t>y</t>
  </si>
  <si>
    <t>Fin 002</t>
  </si>
  <si>
    <t>Cobro a:</t>
  </si>
  <si>
    <t>Cliente</t>
  </si>
  <si>
    <t>Fin 003</t>
  </si>
  <si>
    <t>Comprobación de gastos de viaje.</t>
  </si>
  <si>
    <t>Nombre:</t>
  </si>
  <si>
    <t>Viáticos Recibidos:</t>
  </si>
  <si>
    <t>Fecha de depósito:</t>
  </si>
  <si>
    <t>Ciudad:</t>
  </si>
  <si>
    <t>Fecha salida:</t>
  </si>
  <si>
    <t>Fecha</t>
  </si>
  <si>
    <t>Total Comprobado:</t>
  </si>
  <si>
    <t>Depósito:</t>
  </si>
  <si>
    <t>Monto</t>
  </si>
  <si>
    <t>IVA</t>
  </si>
  <si>
    <t>No. Factura
/Comprobante</t>
  </si>
  <si>
    <t>Entregar en físico junto con comprobantes en recepción de la oficina de Guadalajara</t>
  </si>
  <si>
    <t>Duxstar</t>
  </si>
  <si>
    <t>acastellanos@duxstar.com</t>
  </si>
  <si>
    <t>vmaldonado@duxstar.com</t>
  </si>
  <si>
    <t>acastellanos@duxstar.com   y</t>
  </si>
  <si>
    <t>Anexo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</si>
</sst>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dd\ mmm\ yy"/>
    <numFmt numFmtId="165" formatCode="&quot;$&quot;\ \ \ \ \ \ \ \ #,###.00"/>
    <numFmt numFmtId="166" formatCode="ddd\ dd\ mmm"/>
    <numFmt numFmtId="167" formatCode="[$-F800]dddd\,\ mmmm\ dd\,\ yyyy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theme="1" tint="0.34998626667073579"/>
      <name val="Arial"/>
      <family val="2"/>
    </font>
    <font>
      <sz val="10"/>
      <color theme="0" tint="-0.249977111117893"/>
      <name val="Arial"/>
      <family val="2"/>
    </font>
    <font>
      <sz val="10"/>
      <color theme="0" tint="-0.34998626667073579"/>
      <name val="Arial"/>
      <family val="2"/>
    </font>
    <font>
      <b/>
      <sz val="11"/>
      <color theme="3" tint="-0.499984740745262"/>
      <name val="Arial"/>
      <family val="2"/>
    </font>
    <font>
      <sz val="10"/>
      <color theme="1" tint="0.499984740745262"/>
      <name val="Arial"/>
      <family val="2"/>
    </font>
    <font>
      <u/>
      <sz val="10"/>
      <color theme="10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 tint="-0.1490218817712943"/>
        </stop>
      </gradientFill>
    </fill>
    <fill>
      <gradientFill degree="90">
        <stop position="0">
          <color theme="0"/>
        </stop>
        <stop position="1">
          <color rgb="FFC5D5E9"/>
        </stop>
      </gradient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4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0" fillId="0" borderId="9" xfId="0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16" xfId="0" applyBorder="1" applyAlignment="1">
      <alignment vertical="center"/>
    </xf>
    <xf numFmtId="0" fontId="2" fillId="0" borderId="16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4" fillId="0" borderId="19" xfId="0" applyFont="1" applyBorder="1" applyAlignment="1">
      <alignment horizontal="right" vertical="center"/>
    </xf>
    <xf numFmtId="0" fontId="4" fillId="0" borderId="20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right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5" fillId="0" borderId="0" xfId="0" applyFont="1"/>
    <xf numFmtId="0" fontId="0" fillId="2" borderId="14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/>
    <xf numFmtId="0" fontId="4" fillId="0" borderId="22" xfId="0" applyFont="1" applyBorder="1" applyAlignment="1">
      <alignment horizontal="right" vertical="center"/>
    </xf>
    <xf numFmtId="0" fontId="1" fillId="0" borderId="0" xfId="2" applyFont="1" applyBorder="1" applyAlignment="1">
      <alignment vertical="center"/>
    </xf>
    <xf numFmtId="0" fontId="9" fillId="0" borderId="0" xfId="2" applyFont="1" applyBorder="1" applyAlignment="1">
      <alignment horizontal="right" vertical="center"/>
    </xf>
    <xf numFmtId="0" fontId="1" fillId="0" borderId="0" xfId="2" applyBorder="1" applyAlignment="1">
      <alignment vertical="center"/>
    </xf>
    <xf numFmtId="0" fontId="8" fillId="0" borderId="0" xfId="2" applyFont="1" applyAlignment="1">
      <alignment horizontal="center" vertical="center"/>
    </xf>
    <xf numFmtId="0" fontId="1" fillId="0" borderId="0" xfId="2" applyAlignment="1">
      <alignment vertical="center"/>
    </xf>
    <xf numFmtId="0" fontId="1" fillId="0" borderId="3" xfId="2" applyBorder="1" applyAlignment="1">
      <alignment vertical="center"/>
    </xf>
    <xf numFmtId="0" fontId="1" fillId="0" borderId="2" xfId="2" applyFont="1" applyBorder="1" applyAlignment="1">
      <alignment horizontal="right" vertical="center"/>
    </xf>
    <xf numFmtId="164" fontId="1" fillId="3" borderId="1" xfId="2" applyNumberFormat="1" applyFill="1" applyBorder="1" applyAlignment="1">
      <alignment horizontal="center" vertical="center"/>
    </xf>
    <xf numFmtId="0" fontId="3" fillId="0" borderId="0" xfId="2" applyFont="1" applyBorder="1" applyAlignment="1">
      <alignment vertical="center"/>
    </xf>
    <xf numFmtId="0" fontId="1" fillId="0" borderId="24" xfId="2" applyFont="1" applyBorder="1" applyAlignment="1">
      <alignment horizontal="right" vertical="center"/>
    </xf>
    <xf numFmtId="0" fontId="1" fillId="0" borderId="6" xfId="2" applyFont="1" applyBorder="1" applyAlignment="1">
      <alignment horizontal="left" vertical="center"/>
    </xf>
    <xf numFmtId="0" fontId="1" fillId="0" borderId="13" xfId="2" applyFont="1" applyBorder="1" applyAlignment="1">
      <alignment horizontal="left" vertical="center"/>
    </xf>
    <xf numFmtId="0" fontId="1" fillId="0" borderId="14" xfId="2" applyFont="1" applyBorder="1" applyAlignment="1">
      <alignment horizontal="right" vertical="center"/>
    </xf>
    <xf numFmtId="43" fontId="1" fillId="0" borderId="14" xfId="1" applyFont="1" applyBorder="1" applyAlignment="1">
      <alignment horizontal="left" vertical="center"/>
    </xf>
    <xf numFmtId="0" fontId="1" fillId="0" borderId="0" xfId="2" applyFont="1" applyBorder="1" applyAlignment="1">
      <alignment horizontal="center" vertical="center"/>
    </xf>
    <xf numFmtId="0" fontId="1" fillId="0" borderId="25" xfId="2" applyFont="1" applyBorder="1" applyAlignment="1">
      <alignment horizontal="right" vertical="center"/>
    </xf>
    <xf numFmtId="0" fontId="1" fillId="0" borderId="26" xfId="2" applyFont="1" applyBorder="1" applyAlignment="1">
      <alignment horizontal="left" vertical="center"/>
    </xf>
    <xf numFmtId="0" fontId="1" fillId="0" borderId="15" xfId="2" applyFont="1" applyBorder="1" applyAlignment="1">
      <alignment horizontal="left" vertical="center"/>
    </xf>
    <xf numFmtId="0" fontId="1" fillId="0" borderId="16" xfId="2" applyFont="1" applyBorder="1" applyAlignment="1">
      <alignment horizontal="right" vertical="center"/>
    </xf>
    <xf numFmtId="43" fontId="1" fillId="0" borderId="16" xfId="1" applyFont="1" applyBorder="1" applyAlignment="1">
      <alignment horizontal="left" vertical="center"/>
    </xf>
    <xf numFmtId="0" fontId="2" fillId="0" borderId="0" xfId="2" applyFont="1" applyBorder="1" applyAlignment="1">
      <alignment horizontal="center" vertical="center"/>
    </xf>
    <xf numFmtId="0" fontId="1" fillId="0" borderId="17" xfId="2" applyFont="1" applyBorder="1" applyAlignment="1">
      <alignment horizontal="left" vertical="center"/>
    </xf>
    <xf numFmtId="0" fontId="1" fillId="0" borderId="18" xfId="2" applyFont="1" applyBorder="1" applyAlignment="1">
      <alignment horizontal="right" vertical="center"/>
    </xf>
    <xf numFmtId="0" fontId="1" fillId="0" borderId="18" xfId="2" applyFont="1" applyBorder="1" applyAlignment="1">
      <alignment horizontal="left" vertical="center"/>
    </xf>
    <xf numFmtId="0" fontId="1" fillId="0" borderId="27" xfId="2" applyFont="1" applyBorder="1" applyAlignment="1">
      <alignment horizontal="right" vertical="center"/>
    </xf>
    <xf numFmtId="0" fontId="1" fillId="0" borderId="29" xfId="2" applyFont="1" applyBorder="1" applyAlignment="1">
      <alignment horizontal="left" vertical="center"/>
    </xf>
    <xf numFmtId="0" fontId="1" fillId="0" borderId="0" xfId="2" applyFont="1" applyBorder="1" applyAlignment="1">
      <alignment horizontal="left" vertical="center"/>
    </xf>
    <xf numFmtId="0" fontId="2" fillId="2" borderId="30" xfId="2" applyFont="1" applyFill="1" applyBorder="1" applyAlignment="1">
      <alignment horizontal="center" vertical="center"/>
    </xf>
    <xf numFmtId="0" fontId="2" fillId="2" borderId="31" xfId="2" applyFont="1" applyFill="1" applyBorder="1" applyAlignment="1">
      <alignment horizontal="center" vertical="center"/>
    </xf>
    <xf numFmtId="0" fontId="2" fillId="2" borderId="32" xfId="2" applyFont="1" applyFill="1" applyBorder="1" applyAlignment="1">
      <alignment horizontal="center" vertical="center"/>
    </xf>
    <xf numFmtId="0" fontId="1" fillId="0" borderId="39" xfId="2" applyFont="1" applyBorder="1" applyAlignment="1">
      <alignment vertical="center"/>
    </xf>
    <xf numFmtId="0" fontId="1" fillId="0" borderId="39" xfId="2" applyFont="1" applyBorder="1" applyAlignment="1">
      <alignment horizontal="right" vertical="center"/>
    </xf>
    <xf numFmtId="43" fontId="0" fillId="0" borderId="39" xfId="1" applyFont="1" applyBorder="1" applyAlignment="1">
      <alignment vertical="center"/>
    </xf>
    <xf numFmtId="0" fontId="1" fillId="0" borderId="0" xfId="2"/>
    <xf numFmtId="0" fontId="5" fillId="0" borderId="0" xfId="2" applyFont="1" applyAlignment="1">
      <alignment vertical="center"/>
    </xf>
    <xf numFmtId="9" fontId="2" fillId="2" borderId="31" xfId="2" applyNumberFormat="1" applyFont="1" applyFill="1" applyBorder="1" applyAlignment="1">
      <alignment horizontal="center" vertical="center"/>
    </xf>
    <xf numFmtId="0" fontId="2" fillId="2" borderId="31" xfId="2" applyFont="1" applyFill="1" applyBorder="1" applyAlignment="1">
      <alignment horizontal="center" vertical="center" wrapText="1"/>
    </xf>
    <xf numFmtId="0" fontId="10" fillId="0" borderId="0" xfId="3"/>
    <xf numFmtId="166" fontId="1" fillId="0" borderId="33" xfId="2" applyNumberFormat="1" applyFont="1" applyFill="1" applyBorder="1" applyAlignment="1">
      <alignment horizontal="center" vertical="center"/>
    </xf>
    <xf numFmtId="0" fontId="1" fillId="0" borderId="34" xfId="2" applyFont="1" applyFill="1" applyBorder="1" applyAlignment="1">
      <alignment horizontal="left" vertical="center" wrapText="1"/>
    </xf>
    <xf numFmtId="0" fontId="1" fillId="0" borderId="34" xfId="2" applyFont="1" applyFill="1" applyBorder="1" applyAlignment="1">
      <alignment horizontal="center" vertical="center"/>
    </xf>
    <xf numFmtId="43" fontId="1" fillId="0" borderId="34" xfId="1" applyFont="1" applyFill="1" applyBorder="1" applyAlignment="1">
      <alignment horizontal="center" vertical="center"/>
    </xf>
    <xf numFmtId="43" fontId="1" fillId="0" borderId="35" xfId="1" applyFont="1" applyFill="1" applyBorder="1" applyAlignment="1">
      <alignment horizontal="right" vertical="center"/>
    </xf>
    <xf numFmtId="166" fontId="1" fillId="0" borderId="36" xfId="2" applyNumberFormat="1" applyFont="1" applyFill="1" applyBorder="1" applyAlignment="1">
      <alignment horizontal="center" vertical="center"/>
    </xf>
    <xf numFmtId="0" fontId="1" fillId="0" borderId="37" xfId="2" applyFont="1" applyFill="1" applyBorder="1" applyAlignment="1">
      <alignment horizontal="left" vertical="center" wrapText="1"/>
    </xf>
    <xf numFmtId="0" fontId="1" fillId="0" borderId="37" xfId="2" applyFont="1" applyFill="1" applyBorder="1" applyAlignment="1">
      <alignment horizontal="center" vertical="center"/>
    </xf>
    <xf numFmtId="43" fontId="1" fillId="0" borderId="37" xfId="1" applyFont="1" applyFill="1" applyBorder="1" applyAlignment="1">
      <alignment horizontal="center" vertical="center"/>
    </xf>
    <xf numFmtId="43" fontId="1" fillId="0" borderId="38" xfId="1" applyFont="1" applyFill="1" applyBorder="1" applyAlignment="1">
      <alignment horizontal="right" vertical="center"/>
    </xf>
    <xf numFmtId="166" fontId="1" fillId="0" borderId="40" xfId="2" applyNumberFormat="1" applyFont="1" applyFill="1" applyBorder="1" applyAlignment="1">
      <alignment horizontal="center" vertical="center"/>
    </xf>
    <xf numFmtId="0" fontId="1" fillId="0" borderId="41" xfId="2" applyFont="1" applyFill="1" applyBorder="1" applyAlignment="1">
      <alignment horizontal="left" vertical="center" wrapText="1"/>
    </xf>
    <xf numFmtId="164" fontId="1" fillId="0" borderId="28" xfId="2" applyNumberFormat="1" applyFont="1" applyBorder="1" applyAlignment="1">
      <alignment horizontal="left" vertical="center"/>
    </xf>
    <xf numFmtId="0" fontId="1" fillId="0" borderId="41" xfId="2" applyFont="1" applyFill="1" applyBorder="1" applyAlignment="1">
      <alignment horizontal="center" vertical="center"/>
    </xf>
    <xf numFmtId="43" fontId="1" fillId="0" borderId="41" xfId="1" applyFont="1" applyFill="1" applyBorder="1" applyAlignment="1">
      <alignment horizontal="center" vertical="center"/>
    </xf>
    <xf numFmtId="43" fontId="1" fillId="0" borderId="42" xfId="1" applyFont="1" applyFill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2" fillId="2" borderId="13" xfId="0" applyFont="1" applyFill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1" fontId="1" fillId="0" borderId="15" xfId="0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43" fontId="0" fillId="0" borderId="6" xfId="1" applyFont="1" applyBorder="1" applyAlignment="1">
      <alignment horizontal="right" vertical="center"/>
    </xf>
    <xf numFmtId="43" fontId="0" fillId="0" borderId="8" xfId="1" applyFont="1" applyBorder="1" applyAlignment="1">
      <alignment horizontal="right" vertical="center"/>
    </xf>
    <xf numFmtId="43" fontId="0" fillId="0" borderId="23" xfId="1" applyFont="1" applyBorder="1" applyAlignment="1">
      <alignment horizontal="right" vertical="center"/>
    </xf>
    <xf numFmtId="43" fontId="0" fillId="0" borderId="10" xfId="1" applyFont="1" applyBorder="1" applyAlignment="1">
      <alignment horizontal="right" vertical="center"/>
    </xf>
    <xf numFmtId="165" fontId="2" fillId="2" borderId="12" xfId="1" applyNumberFormat="1" applyFont="1" applyFill="1" applyBorder="1" applyAlignment="1">
      <alignment horizontal="right" vertical="center"/>
    </xf>
    <xf numFmtId="167" fontId="2" fillId="0" borderId="15" xfId="0" applyNumberFormat="1" applyFont="1" applyBorder="1" applyAlignment="1">
      <alignment horizontal="left" vertical="center"/>
    </xf>
  </cellXfs>
  <cellStyles count="4">
    <cellStyle name="Hipervínculo" xfId="3" builtinId="8"/>
    <cellStyle name="Millares" xfId="1" builtinId="3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C5D5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trlProps/ctrlProp1.xml><?xml version="1.0" encoding="utf-8"?>
<formControlPr xmlns="http://schemas.microsoft.com/office/spreadsheetml/2009/9/main" objectType="Drop" dropLines="53" dropStyle="combo" dx="16" fmlaLink="Hoja1!$C$2" fmlaRange="Hoja1!$C$3:$C$4" sel="2" val="0"/>
</file>

<file path=xl/ctrlProps/ctrlProp2.xml><?xml version="1.0" encoding="utf-8"?>
<formControlPr xmlns="http://schemas.microsoft.com/office/spreadsheetml/2009/9/main" objectType="Drop" dropLines="53" dropStyle="combo" dx="16" fmlaLink="Hoja1!$B$2" fmlaRange="Hoja1!$B$3:$B$4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30</xdr:row>
          <xdr:rowOff>25400</xdr:rowOff>
        </xdr:from>
        <xdr:to>
          <xdr:col>2</xdr:col>
          <xdr:colOff>1295400</xdr:colOff>
          <xdr:row>30</xdr:row>
          <xdr:rowOff>292100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63500</xdr:colOff>
      <xdr:row>0</xdr:row>
      <xdr:rowOff>139700</xdr:rowOff>
    </xdr:from>
    <xdr:to>
      <xdr:col>2</xdr:col>
      <xdr:colOff>988436</xdr:colOff>
      <xdr:row>4</xdr:row>
      <xdr:rowOff>88900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" y="139700"/>
          <a:ext cx="2487036" cy="698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</xdr:row>
          <xdr:rowOff>12700</xdr:rowOff>
        </xdr:from>
        <xdr:to>
          <xdr:col>5</xdr:col>
          <xdr:colOff>787400</xdr:colOff>
          <xdr:row>9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25400</xdr:colOff>
      <xdr:row>0</xdr:row>
      <xdr:rowOff>63500</xdr:rowOff>
    </xdr:from>
    <xdr:to>
      <xdr:col>2</xdr:col>
      <xdr:colOff>1333500</xdr:colOff>
      <xdr:row>4</xdr:row>
      <xdr:rowOff>18170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3500"/>
          <a:ext cx="2235200" cy="627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5" Type="http://schemas.openxmlformats.org/officeDocument/2006/relationships/ctrlProp" Target="../ctrlProps/ctrlProp1.xml"/><Relationship Id="rId1" Type="http://schemas.openxmlformats.org/officeDocument/2006/relationships/hyperlink" Target="mailto:acastellanos@duxstar.com" TargetMode="External"/><Relationship Id="rId2" Type="http://schemas.openxmlformats.org/officeDocument/2006/relationships/hyperlink" Target="mailto:vmaldonado@duxstar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Relationship Id="rId5" Type="http://schemas.openxmlformats.org/officeDocument/2006/relationships/ctrlProp" Target="../ctrlProps/ctrlProp2.xml"/><Relationship Id="rId1" Type="http://schemas.openxmlformats.org/officeDocument/2006/relationships/hyperlink" Target="mailto:vmaldonado@duxstar.com" TargetMode="External"/><Relationship Id="rId2" Type="http://schemas.openxmlformats.org/officeDocument/2006/relationships/hyperlink" Target="mailto:acastellanos@duxstar.com%20%20%20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 enableFormatConditionsCalculation="0">
    <tabColor theme="4" tint="0.59999389629810485"/>
  </sheetPr>
  <dimension ref="A1:F41"/>
  <sheetViews>
    <sheetView showGridLines="0" tabSelected="1" zoomScaleSheetLayoutView="100" workbookViewId="0">
      <selection activeCell="F4" sqref="F4"/>
    </sheetView>
  </sheetViews>
  <sheetFormatPr baseColWidth="10" defaultColWidth="10.83203125" defaultRowHeight="13" x14ac:dyDescent="0.15"/>
  <cols>
    <col min="1" max="1" width="2" style="1" customWidth="1"/>
    <col min="2" max="2" width="20.5" style="1" customWidth="1"/>
    <col min="3" max="3" width="21.5" style="1" customWidth="1"/>
    <col min="4" max="4" width="20.83203125" style="1" customWidth="1"/>
    <col min="5" max="5" width="14.1640625" style="1" customWidth="1"/>
    <col min="6" max="6" width="12.1640625" style="1" customWidth="1"/>
    <col min="7" max="16384" width="10.83203125" style="1"/>
  </cols>
  <sheetData>
    <row r="1" spans="1:6" x14ac:dyDescent="0.15">
      <c r="F1" s="31" t="s">
        <v>27</v>
      </c>
    </row>
    <row r="3" spans="1:6" ht="14" x14ac:dyDescent="0.15">
      <c r="D3" s="15" t="s">
        <v>48</v>
      </c>
    </row>
    <row r="4" spans="1:6" ht="19.5" customHeight="1" x14ac:dyDescent="0.15">
      <c r="D4" s="6"/>
      <c r="E4" s="9" t="s">
        <v>10</v>
      </c>
      <c r="F4" s="30"/>
    </row>
    <row r="5" spans="1:6" ht="19.5" customHeight="1" x14ac:dyDescent="0.15"/>
    <row r="6" spans="1:6" ht="19.5" customHeight="1" x14ac:dyDescent="0.15">
      <c r="B6" s="14" t="s">
        <v>5</v>
      </c>
    </row>
    <row r="7" spans="1:6" ht="19.5" customHeight="1" x14ac:dyDescent="0.15">
      <c r="A7" s="2"/>
    </row>
    <row r="8" spans="1:6" ht="19.5" customHeight="1" x14ac:dyDescent="0.15">
      <c r="A8" s="2"/>
      <c r="B8" s="21" t="s">
        <v>3</v>
      </c>
      <c r="C8" s="90"/>
      <c r="D8" s="28"/>
      <c r="E8" s="28"/>
    </row>
    <row r="9" spans="1:6" ht="19.5" customHeight="1" x14ac:dyDescent="0.15">
      <c r="B9" s="22" t="s">
        <v>7</v>
      </c>
      <c r="C9" s="91"/>
      <c r="D9" s="16"/>
      <c r="E9" s="16"/>
    </row>
    <row r="10" spans="1:6" ht="19.5" customHeight="1" x14ac:dyDescent="0.15">
      <c r="B10" s="22" t="s">
        <v>23</v>
      </c>
      <c r="C10" s="91"/>
      <c r="D10" s="16"/>
      <c r="E10" s="16"/>
    </row>
    <row r="11" spans="1:6" ht="19.5" customHeight="1" x14ac:dyDescent="0.15">
      <c r="B11" s="22" t="s">
        <v>22</v>
      </c>
      <c r="C11" s="92"/>
      <c r="D11" s="29"/>
      <c r="E11" s="29"/>
    </row>
    <row r="12" spans="1:6" ht="19.5" customHeight="1" x14ac:dyDescent="0.15">
      <c r="B12" s="23" t="s">
        <v>20</v>
      </c>
      <c r="C12" s="100"/>
      <c r="D12" s="17"/>
      <c r="E12" s="17"/>
    </row>
    <row r="13" spans="1:6" ht="19.5" customHeight="1" x14ac:dyDescent="0.15">
      <c r="B13" s="23" t="s">
        <v>21</v>
      </c>
      <c r="C13" s="100"/>
      <c r="D13" s="17"/>
      <c r="E13" s="17"/>
    </row>
    <row r="14" spans="1:6" ht="19.5" customHeight="1" x14ac:dyDescent="0.15">
      <c r="B14" s="22" t="s">
        <v>2</v>
      </c>
      <c r="C14" s="93"/>
      <c r="D14" s="16"/>
      <c r="E14" s="16"/>
    </row>
    <row r="15" spans="1:6" ht="19.5" customHeight="1" x14ac:dyDescent="0.15">
      <c r="B15" s="22" t="s">
        <v>6</v>
      </c>
      <c r="C15" s="94"/>
      <c r="D15" s="16"/>
      <c r="E15" s="16"/>
    </row>
    <row r="16" spans="1:6" ht="19.5" customHeight="1" x14ac:dyDescent="0.15">
      <c r="B16" s="22" t="s">
        <v>11</v>
      </c>
      <c r="C16" s="91"/>
      <c r="D16" s="18" t="s">
        <v>12</v>
      </c>
      <c r="E16" s="18"/>
    </row>
    <row r="17" spans="2:5" ht="19.5" customHeight="1" x14ac:dyDescent="0.15">
      <c r="B17" s="24"/>
      <c r="C17" s="19"/>
      <c r="D17" s="20"/>
      <c r="E17" s="20"/>
    </row>
    <row r="18" spans="2:5" ht="19.5" customHeight="1" x14ac:dyDescent="0.15"/>
    <row r="19" spans="2:5" ht="19.5" customHeight="1" x14ac:dyDescent="0.15">
      <c r="B19" s="25" t="s">
        <v>0</v>
      </c>
      <c r="C19" s="26" t="s">
        <v>1</v>
      </c>
    </row>
    <row r="20" spans="2:5" ht="19.5" customHeight="1" x14ac:dyDescent="0.15">
      <c r="B20" s="10" t="s">
        <v>8</v>
      </c>
      <c r="C20" s="95"/>
    </row>
    <row r="21" spans="2:5" ht="19.5" customHeight="1" x14ac:dyDescent="0.15">
      <c r="B21" s="11" t="s">
        <v>9</v>
      </c>
      <c r="C21" s="96"/>
    </row>
    <row r="22" spans="2:5" ht="19.5" customHeight="1" x14ac:dyDescent="0.15">
      <c r="B22" s="11" t="s">
        <v>13</v>
      </c>
      <c r="C22" s="96"/>
    </row>
    <row r="23" spans="2:5" ht="19.5" customHeight="1" x14ac:dyDescent="0.15">
      <c r="B23" s="11" t="s">
        <v>14</v>
      </c>
      <c r="C23" s="96"/>
    </row>
    <row r="24" spans="2:5" ht="19.5" customHeight="1" x14ac:dyDescent="0.15">
      <c r="B24" s="11" t="s">
        <v>15</v>
      </c>
      <c r="C24" s="96"/>
    </row>
    <row r="25" spans="2:5" ht="19.5" customHeight="1" x14ac:dyDescent="0.15">
      <c r="B25" s="34"/>
      <c r="C25" s="97"/>
    </row>
    <row r="26" spans="2:5" ht="19.5" customHeight="1" x14ac:dyDescent="0.15">
      <c r="B26" s="34"/>
      <c r="C26" s="97"/>
    </row>
    <row r="27" spans="2:5" ht="19.5" customHeight="1" x14ac:dyDescent="0.15">
      <c r="B27" s="34"/>
      <c r="C27" s="97"/>
    </row>
    <row r="28" spans="2:5" ht="19.5" customHeight="1" x14ac:dyDescent="0.15">
      <c r="B28" s="12"/>
      <c r="C28" s="98"/>
    </row>
    <row r="29" spans="2:5" ht="19.5" customHeight="1" x14ac:dyDescent="0.15">
      <c r="B29" s="25" t="s">
        <v>16</v>
      </c>
      <c r="C29" s="99">
        <f>SUM(C20:C28)</f>
        <v>0</v>
      </c>
    </row>
    <row r="30" spans="2:5" ht="19.5" customHeight="1" x14ac:dyDescent="0.15"/>
    <row r="31" spans="2:5" ht="24" customHeight="1" x14ac:dyDescent="0.15">
      <c r="B31" s="32" t="s">
        <v>28</v>
      </c>
      <c r="C31" s="7"/>
    </row>
    <row r="32" spans="2:5" ht="19.5" customHeight="1" x14ac:dyDescent="0.15"/>
    <row r="33" spans="2:4" ht="19.5" customHeight="1" x14ac:dyDescent="0.15">
      <c r="B33" s="3" t="s">
        <v>17</v>
      </c>
    </row>
    <row r="34" spans="2:4" ht="19.5" customHeight="1" x14ac:dyDescent="0.15">
      <c r="B34" s="5" t="s">
        <v>18</v>
      </c>
      <c r="C34" s="89"/>
      <c r="D34" s="8"/>
    </row>
    <row r="35" spans="2:4" ht="19.5" customHeight="1" x14ac:dyDescent="0.15">
      <c r="B35" s="5" t="s">
        <v>19</v>
      </c>
      <c r="C35" s="7"/>
      <c r="D35" s="8"/>
    </row>
    <row r="36" spans="2:4" ht="19.5" customHeight="1" x14ac:dyDescent="0.15">
      <c r="B36" s="13" t="s">
        <v>24</v>
      </c>
    </row>
    <row r="39" spans="2:4" x14ac:dyDescent="0.15">
      <c r="B39" s="4" t="s">
        <v>25</v>
      </c>
    </row>
    <row r="40" spans="2:4" x14ac:dyDescent="0.15">
      <c r="B40" s="72" t="s">
        <v>45</v>
      </c>
      <c r="C40" s="27" t="s">
        <v>26</v>
      </c>
    </row>
    <row r="41" spans="2:4" x14ac:dyDescent="0.15">
      <c r="B41" s="72" t="s">
        <v>46</v>
      </c>
    </row>
  </sheetData>
  <phoneticPr fontId="0" type="noConversion"/>
  <hyperlinks>
    <hyperlink ref="B40" r:id="rId1"/>
    <hyperlink ref="B41" r:id="rId2"/>
  </hyperlinks>
  <printOptions horizontalCentered="1"/>
  <pageMargins left="0.23622047244094491" right="0.23622047244094491" top="0.55118110236220474" bottom="0.55118110236220474" header="0.31496062992125984" footer="0.31496062992125984"/>
  <pageSetup scale="88" orientation="portrait" verticalDpi="300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Drop Down 1">
              <controlPr defaultSize="0" autoLine="0" autoPict="0">
                <anchor moveWithCells="1">
                  <from>
                    <xdr:col>2</xdr:col>
                    <xdr:colOff>139700</xdr:colOff>
                    <xdr:row>30</xdr:row>
                    <xdr:rowOff>25400</xdr:rowOff>
                  </from>
                  <to>
                    <xdr:col>2</xdr:col>
                    <xdr:colOff>1295400</xdr:colOff>
                    <xdr:row>30</xdr:row>
                    <xdr:rowOff>292100</xdr:rowOff>
                  </to>
                </anchor>
              </controlPr>
            </control>
          </mc:Choice>
          <mc:Fallback/>
        </mc:AlternateContent>
      </controls>
    </mc:Choice>
    <mc:Fallback/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 enableFormatConditionsCalculation="0">
    <tabColor theme="4" tint="0.59999389629810485"/>
  </sheetPr>
  <dimension ref="A1:L98"/>
  <sheetViews>
    <sheetView showGridLines="0" showZeros="0" zoomScaleSheetLayoutView="85" workbookViewId="0">
      <selection activeCell="L26" sqref="L26"/>
    </sheetView>
  </sheetViews>
  <sheetFormatPr baseColWidth="10" defaultColWidth="10.83203125" defaultRowHeight="13" x14ac:dyDescent="0.15"/>
  <cols>
    <col min="1" max="1" width="2.1640625" style="35" customWidth="1"/>
    <col min="2" max="2" width="12.1640625" style="35" bestFit="1" customWidth="1"/>
    <col min="3" max="3" width="25" style="35" customWidth="1"/>
    <col min="4" max="4" width="12" style="35" customWidth="1"/>
    <col min="5" max="5" width="11.1640625" style="35" customWidth="1"/>
    <col min="6" max="6" width="11.6640625" style="35" customWidth="1"/>
    <col min="7" max="7" width="11.5" style="35" customWidth="1"/>
    <col min="8" max="8" width="10.6640625" style="35" customWidth="1"/>
    <col min="9" max="9" width="11.33203125" style="35" customWidth="1"/>
    <col min="10" max="10" width="12.83203125" style="35" customWidth="1"/>
    <col min="11" max="11" width="12.83203125" style="37" customWidth="1"/>
    <col min="12" max="16384" width="10.83203125" style="37"/>
  </cols>
  <sheetData>
    <row r="1" spans="1:11" x14ac:dyDescent="0.15">
      <c r="H1" s="36" t="s">
        <v>30</v>
      </c>
    </row>
    <row r="2" spans="1:11" ht="14" x14ac:dyDescent="0.15">
      <c r="G2" s="38" t="s">
        <v>4</v>
      </c>
      <c r="H2" s="39"/>
      <c r="K2" s="39"/>
    </row>
    <row r="3" spans="1:11" x14ac:dyDescent="0.15">
      <c r="F3" s="40"/>
      <c r="G3" s="41" t="s">
        <v>10</v>
      </c>
      <c r="H3" s="42"/>
    </row>
    <row r="5" spans="1:11" ht="16" x14ac:dyDescent="0.15">
      <c r="C5" s="43" t="s">
        <v>31</v>
      </c>
      <c r="D5" s="43"/>
      <c r="E5" s="43"/>
      <c r="F5" s="43"/>
    </row>
    <row r="7" spans="1:11" x14ac:dyDescent="0.15">
      <c r="B7" s="44" t="s">
        <v>32</v>
      </c>
      <c r="C7" s="45">
        <f>Solicitud!C8</f>
        <v>0</v>
      </c>
      <c r="D7" s="46"/>
      <c r="E7" s="47" t="s">
        <v>33</v>
      </c>
      <c r="F7" s="48">
        <f>Solicitud!C29</f>
        <v>0</v>
      </c>
      <c r="H7" s="37"/>
      <c r="I7" s="37"/>
      <c r="J7" s="37"/>
    </row>
    <row r="8" spans="1:11" s="55" customFormat="1" x14ac:dyDescent="0.15">
      <c r="A8" s="49"/>
      <c r="B8" s="50" t="s">
        <v>7</v>
      </c>
      <c r="C8" s="51">
        <f>Solicitud!C9</f>
        <v>0</v>
      </c>
      <c r="D8" s="52"/>
      <c r="E8" s="53" t="s">
        <v>34</v>
      </c>
      <c r="F8" s="54">
        <v>0</v>
      </c>
      <c r="G8" s="35"/>
    </row>
    <row r="9" spans="1:11" s="55" customFormat="1" ht="16.5" customHeight="1" x14ac:dyDescent="0.15">
      <c r="A9" s="49"/>
      <c r="B9" s="50" t="s">
        <v>35</v>
      </c>
      <c r="C9" s="51">
        <f>Solicitud!C11</f>
        <v>0</v>
      </c>
      <c r="D9" s="56"/>
      <c r="E9" s="57" t="s">
        <v>28</v>
      </c>
      <c r="F9" s="58"/>
      <c r="G9" s="35"/>
    </row>
    <row r="10" spans="1:11" x14ac:dyDescent="0.15">
      <c r="B10" s="59" t="s">
        <v>36</v>
      </c>
      <c r="C10" s="85">
        <f>Solicitud!C12</f>
        <v>0</v>
      </c>
      <c r="D10" s="60"/>
      <c r="E10" s="61"/>
      <c r="F10" s="61"/>
      <c r="H10" s="37"/>
      <c r="I10" s="37"/>
      <c r="J10" s="37"/>
    </row>
    <row r="12" spans="1:11" s="55" customFormat="1" x14ac:dyDescent="0.15">
      <c r="A12" s="49"/>
      <c r="B12" s="49"/>
      <c r="C12" s="49"/>
      <c r="D12" s="49"/>
      <c r="E12" s="49"/>
      <c r="F12" s="49"/>
      <c r="G12" s="49"/>
      <c r="H12" s="35"/>
      <c r="I12" s="49"/>
      <c r="J12" s="49"/>
    </row>
    <row r="13" spans="1:11" s="55" customFormat="1" ht="14" thickBot="1" x14ac:dyDescent="0.2">
      <c r="A13" s="49"/>
      <c r="B13" s="49"/>
      <c r="C13" s="49"/>
      <c r="D13" s="49"/>
      <c r="E13" s="49"/>
      <c r="F13" s="49"/>
      <c r="G13" s="49"/>
      <c r="H13" s="35"/>
      <c r="I13" s="49"/>
      <c r="J13" s="49"/>
    </row>
    <row r="14" spans="1:11" s="55" customFormat="1" ht="36.75" customHeight="1" thickBot="1" x14ac:dyDescent="0.2">
      <c r="A14" s="49"/>
      <c r="B14" s="62" t="s">
        <v>37</v>
      </c>
      <c r="C14" s="63" t="s">
        <v>0</v>
      </c>
      <c r="D14" s="71" t="s">
        <v>42</v>
      </c>
      <c r="E14" s="63" t="s">
        <v>40</v>
      </c>
      <c r="F14" s="63" t="s">
        <v>41</v>
      </c>
      <c r="G14" s="70">
        <v>0.02</v>
      </c>
      <c r="H14" s="64" t="s">
        <v>16</v>
      </c>
    </row>
    <row r="15" spans="1:11" x14ac:dyDescent="0.15">
      <c r="B15" s="83"/>
      <c r="C15" s="84"/>
      <c r="D15" s="86"/>
      <c r="E15" s="87"/>
      <c r="F15" s="87"/>
      <c r="G15" s="87"/>
      <c r="H15" s="88">
        <f t="shared" ref="H15:H32" si="0">SUM(E15:G15)</f>
        <v>0</v>
      </c>
      <c r="I15" s="37"/>
      <c r="J15" s="69"/>
    </row>
    <row r="16" spans="1:11" s="55" customFormat="1" x14ac:dyDescent="0.15">
      <c r="A16" s="49"/>
      <c r="B16" s="73"/>
      <c r="C16" s="74"/>
      <c r="D16" s="75"/>
      <c r="E16" s="76"/>
      <c r="F16" s="76"/>
      <c r="G16" s="76"/>
      <c r="H16" s="77">
        <f t="shared" si="0"/>
        <v>0</v>
      </c>
      <c r="J16" s="69"/>
    </row>
    <row r="17" spans="1:10" s="55" customFormat="1" x14ac:dyDescent="0.15">
      <c r="A17" s="49"/>
      <c r="B17" s="73"/>
      <c r="C17" s="74"/>
      <c r="D17" s="75"/>
      <c r="E17" s="76"/>
      <c r="F17" s="76"/>
      <c r="G17" s="76"/>
      <c r="H17" s="77"/>
      <c r="J17" s="69"/>
    </row>
    <row r="18" spans="1:10" s="55" customFormat="1" x14ac:dyDescent="0.15">
      <c r="A18" s="49"/>
      <c r="B18" s="73"/>
      <c r="C18" s="74"/>
      <c r="D18" s="75"/>
      <c r="E18" s="76"/>
      <c r="F18" s="76"/>
      <c r="G18" s="76"/>
      <c r="H18" s="77"/>
      <c r="J18" s="69"/>
    </row>
    <row r="19" spans="1:10" s="55" customFormat="1" x14ac:dyDescent="0.15">
      <c r="A19" s="49"/>
      <c r="B19" s="73"/>
      <c r="C19" s="74"/>
      <c r="D19" s="75"/>
      <c r="E19" s="76"/>
      <c r="F19" s="76"/>
      <c r="G19" s="76"/>
      <c r="H19" s="77"/>
      <c r="J19" s="69"/>
    </row>
    <row r="20" spans="1:10" s="55" customFormat="1" x14ac:dyDescent="0.15">
      <c r="A20" s="49"/>
      <c r="B20" s="73"/>
      <c r="C20" s="74"/>
      <c r="D20" s="75"/>
      <c r="E20" s="76"/>
      <c r="F20" s="76"/>
      <c r="G20" s="76"/>
      <c r="H20" s="77"/>
      <c r="J20" s="69"/>
    </row>
    <row r="21" spans="1:10" s="55" customFormat="1" x14ac:dyDescent="0.15">
      <c r="A21" s="49"/>
      <c r="B21" s="73"/>
      <c r="C21" s="74"/>
      <c r="D21" s="75"/>
      <c r="E21" s="76"/>
      <c r="F21" s="76"/>
      <c r="G21" s="76"/>
      <c r="H21" s="77"/>
      <c r="J21" s="69"/>
    </row>
    <row r="22" spans="1:10" s="55" customFormat="1" x14ac:dyDescent="0.15">
      <c r="A22" s="49"/>
      <c r="B22" s="73"/>
      <c r="C22" s="74"/>
      <c r="D22" s="75"/>
      <c r="E22" s="76"/>
      <c r="F22" s="76"/>
      <c r="G22" s="76"/>
      <c r="H22" s="77"/>
      <c r="J22" s="69"/>
    </row>
    <row r="23" spans="1:10" s="55" customFormat="1" x14ac:dyDescent="0.15">
      <c r="A23" s="49"/>
      <c r="B23" s="73"/>
      <c r="C23" s="74"/>
      <c r="D23" s="75"/>
      <c r="E23" s="76"/>
      <c r="F23" s="76"/>
      <c r="G23" s="76"/>
      <c r="H23" s="77"/>
      <c r="J23" s="69"/>
    </row>
    <row r="24" spans="1:10" s="55" customFormat="1" x14ac:dyDescent="0.15">
      <c r="A24" s="49"/>
      <c r="B24" s="73"/>
      <c r="C24" s="74"/>
      <c r="D24" s="75"/>
      <c r="E24" s="76"/>
      <c r="F24" s="76"/>
      <c r="G24" s="76"/>
      <c r="H24" s="77"/>
      <c r="J24" s="69"/>
    </row>
    <row r="25" spans="1:10" s="55" customFormat="1" x14ac:dyDescent="0.15">
      <c r="A25" s="49"/>
      <c r="B25" s="73"/>
      <c r="C25" s="74"/>
      <c r="D25" s="75"/>
      <c r="E25" s="76"/>
      <c r="F25" s="76"/>
      <c r="G25" s="76"/>
      <c r="H25" s="77"/>
      <c r="J25" s="69"/>
    </row>
    <row r="26" spans="1:10" s="55" customFormat="1" x14ac:dyDescent="0.15">
      <c r="A26" s="49"/>
      <c r="B26" s="73"/>
      <c r="C26" s="74"/>
      <c r="D26" s="75"/>
      <c r="E26" s="76"/>
      <c r="F26" s="76"/>
      <c r="G26" s="76"/>
      <c r="H26" s="77"/>
      <c r="J26" s="69"/>
    </row>
    <row r="27" spans="1:10" s="55" customFormat="1" x14ac:dyDescent="0.15">
      <c r="A27" s="49"/>
      <c r="B27" s="73"/>
      <c r="C27" s="74"/>
      <c r="D27" s="75"/>
      <c r="E27" s="76"/>
      <c r="F27" s="76"/>
      <c r="G27" s="76"/>
      <c r="H27" s="77">
        <f t="shared" ref="H27" si="1">SUM(E27:G27)</f>
        <v>0</v>
      </c>
      <c r="J27" s="69"/>
    </row>
    <row r="28" spans="1:10" s="55" customFormat="1" x14ac:dyDescent="0.15">
      <c r="A28" s="49"/>
      <c r="B28" s="73"/>
      <c r="C28" s="74"/>
      <c r="D28" s="75"/>
      <c r="E28" s="76"/>
      <c r="F28" s="76"/>
      <c r="G28" s="76"/>
      <c r="H28" s="77">
        <f t="shared" ref="H28" si="2">SUM(E28:G28)</f>
        <v>0</v>
      </c>
      <c r="J28" s="69"/>
    </row>
    <row r="29" spans="1:10" s="55" customFormat="1" x14ac:dyDescent="0.15">
      <c r="A29" s="49"/>
      <c r="B29" s="73"/>
      <c r="C29" s="74"/>
      <c r="D29" s="75"/>
      <c r="E29" s="76"/>
      <c r="F29" s="76"/>
      <c r="G29" s="76"/>
      <c r="H29" s="77">
        <f t="shared" ref="H29:H30" si="3">SUM(E29:G29)</f>
        <v>0</v>
      </c>
      <c r="J29" s="69"/>
    </row>
    <row r="30" spans="1:10" s="55" customFormat="1" x14ac:dyDescent="0.15">
      <c r="A30" s="49"/>
      <c r="B30" s="73"/>
      <c r="C30" s="74"/>
      <c r="D30" s="75"/>
      <c r="E30" s="76"/>
      <c r="F30" s="76"/>
      <c r="G30" s="76"/>
      <c r="H30" s="77">
        <f t="shared" si="3"/>
        <v>0</v>
      </c>
      <c r="J30" s="69"/>
    </row>
    <row r="31" spans="1:10" s="55" customFormat="1" x14ac:dyDescent="0.15">
      <c r="A31" s="49"/>
      <c r="B31" s="73"/>
      <c r="C31" s="74"/>
      <c r="D31" s="75"/>
      <c r="E31" s="76"/>
      <c r="F31" s="76"/>
      <c r="G31" s="76"/>
      <c r="H31" s="77">
        <f t="shared" si="0"/>
        <v>0</v>
      </c>
      <c r="J31" s="69"/>
    </row>
    <row r="32" spans="1:10" s="55" customFormat="1" ht="14" thickBot="1" x14ac:dyDescent="0.2">
      <c r="A32" s="49"/>
      <c r="B32" s="78"/>
      <c r="C32" s="79"/>
      <c r="D32" s="80"/>
      <c r="E32" s="81"/>
      <c r="F32" s="81"/>
      <c r="G32" s="81"/>
      <c r="H32" s="82">
        <f t="shared" si="0"/>
        <v>0</v>
      </c>
      <c r="J32" s="69"/>
    </row>
    <row r="33" spans="1:12" x14ac:dyDescent="0.15">
      <c r="B33" s="49"/>
      <c r="C33" s="65"/>
      <c r="D33" s="65"/>
      <c r="E33" s="65"/>
      <c r="F33" s="65"/>
      <c r="G33" s="66" t="s">
        <v>38</v>
      </c>
      <c r="H33" s="67">
        <f>SUM(H15:H32)</f>
        <v>0</v>
      </c>
    </row>
    <row r="34" spans="1:12" x14ac:dyDescent="0.15">
      <c r="B34" s="49"/>
      <c r="C34" s="65"/>
      <c r="D34" s="65"/>
      <c r="E34" s="65"/>
      <c r="F34" s="65"/>
      <c r="G34" s="66" t="s">
        <v>39</v>
      </c>
      <c r="H34" s="67">
        <f>F7</f>
        <v>0</v>
      </c>
    </row>
    <row r="35" spans="1:12" x14ac:dyDescent="0.15">
      <c r="B35" s="49"/>
      <c r="C35" s="65"/>
      <c r="D35" s="65"/>
      <c r="E35" s="65"/>
      <c r="F35" s="65"/>
      <c r="G35" s="66" t="str">
        <f>IF(H35&gt;0,"Diferencia a favor Duxstar:","Diferencia a favor Empleado:")</f>
        <v>Diferencia a favor Empleado:</v>
      </c>
      <c r="H35" s="67">
        <f>H34-H33</f>
        <v>0</v>
      </c>
    </row>
    <row r="36" spans="1:12" x14ac:dyDescent="0.15">
      <c r="B36" s="49"/>
    </row>
    <row r="37" spans="1:12" x14ac:dyDescent="0.15">
      <c r="A37" s="68"/>
      <c r="B37" s="69" t="s">
        <v>25</v>
      </c>
      <c r="C37" s="68"/>
      <c r="D37" s="68"/>
      <c r="E37" s="68"/>
      <c r="F37" s="68"/>
      <c r="G37" s="68"/>
      <c r="H37" s="68"/>
      <c r="I37" s="68"/>
      <c r="J37" s="68"/>
      <c r="K37" s="68"/>
      <c r="L37" s="68"/>
    </row>
    <row r="38" spans="1:12" x14ac:dyDescent="0.15">
      <c r="A38" s="68"/>
      <c r="B38" s="72" t="s">
        <v>47</v>
      </c>
      <c r="C38" s="68"/>
      <c r="D38" s="68"/>
      <c r="E38" s="68"/>
      <c r="F38" s="68"/>
      <c r="G38" s="68"/>
      <c r="H38" s="68"/>
      <c r="I38" s="68"/>
      <c r="J38" s="68"/>
      <c r="K38" s="68"/>
      <c r="L38" s="68"/>
    </row>
    <row r="39" spans="1:12" x14ac:dyDescent="0.15">
      <c r="A39" s="68"/>
      <c r="B39" s="72" t="s">
        <v>46</v>
      </c>
      <c r="C39" s="68"/>
      <c r="D39" s="68"/>
      <c r="E39" s="68"/>
      <c r="F39" s="68"/>
      <c r="G39" s="68"/>
      <c r="H39" s="68"/>
      <c r="I39" s="68"/>
      <c r="J39" s="68"/>
      <c r="K39" s="68"/>
      <c r="L39" s="68"/>
    </row>
    <row r="40" spans="1:12" x14ac:dyDescent="0.15">
      <c r="A40" s="68"/>
      <c r="B40" s="69" t="s">
        <v>43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1:12" x14ac:dyDescent="0.15">
      <c r="A41" s="68"/>
      <c r="B41" s="69"/>
      <c r="C41" s="68"/>
      <c r="D41" s="68"/>
      <c r="E41" s="68"/>
      <c r="F41" s="68"/>
      <c r="G41" s="68"/>
      <c r="H41" s="68"/>
      <c r="I41" s="68"/>
      <c r="J41" s="68"/>
      <c r="K41" s="68"/>
      <c r="L41" s="68"/>
    </row>
    <row r="42" spans="1:12" x14ac:dyDescent="0.15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</row>
    <row r="43" spans="1:12" x14ac:dyDescent="0.1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</row>
    <row r="44" spans="1:12" x14ac:dyDescent="0.1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</row>
    <row r="45" spans="1:12" x14ac:dyDescent="0.1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</row>
    <row r="46" spans="1:12" x14ac:dyDescent="0.1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</row>
    <row r="47" spans="1:12" x14ac:dyDescent="0.1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</row>
    <row r="48" spans="1:12" x14ac:dyDescent="0.1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</row>
    <row r="49" spans="1:12" x14ac:dyDescent="0.1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</row>
    <row r="50" spans="1:12" x14ac:dyDescent="0.1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</row>
    <row r="51" spans="1:12" x14ac:dyDescent="0.1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</row>
    <row r="52" spans="1:12" x14ac:dyDescent="0.1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</row>
    <row r="53" spans="1:12" x14ac:dyDescent="0.1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</row>
    <row r="54" spans="1:12" x14ac:dyDescent="0.1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</row>
    <row r="55" spans="1:12" x14ac:dyDescent="0.1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</row>
    <row r="56" spans="1:12" x14ac:dyDescent="0.1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</row>
    <row r="57" spans="1:12" x14ac:dyDescent="0.1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</row>
    <row r="58" spans="1:12" x14ac:dyDescent="0.1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</row>
    <row r="59" spans="1:12" x14ac:dyDescent="0.1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</row>
    <row r="60" spans="1:12" x14ac:dyDescent="0.1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</row>
    <row r="61" spans="1:12" x14ac:dyDescent="0.1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</row>
    <row r="62" spans="1:12" x14ac:dyDescent="0.1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</row>
    <row r="63" spans="1:12" x14ac:dyDescent="0.1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</row>
    <row r="64" spans="1:12" x14ac:dyDescent="0.1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</row>
    <row r="65" spans="1:12" x14ac:dyDescent="0.1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</row>
    <row r="66" spans="1:12" x14ac:dyDescent="0.1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</row>
    <row r="67" spans="1:12" x14ac:dyDescent="0.1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</row>
    <row r="68" spans="1:12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</row>
    <row r="69" spans="1:12" x14ac:dyDescent="0.1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</row>
    <row r="70" spans="1:12" x14ac:dyDescent="0.1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</row>
    <row r="71" spans="1:12" x14ac:dyDescent="0.1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</row>
    <row r="72" spans="1:12" x14ac:dyDescent="0.1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</row>
    <row r="73" spans="1:12" x14ac:dyDescent="0.1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</row>
    <row r="74" spans="1:12" x14ac:dyDescent="0.1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</row>
    <row r="75" spans="1:12" x14ac:dyDescent="0.1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</row>
    <row r="76" spans="1:12" x14ac:dyDescent="0.1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</row>
    <row r="77" spans="1:12" x14ac:dyDescent="0.1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</row>
    <row r="78" spans="1:12" x14ac:dyDescent="0.1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</row>
    <row r="79" spans="1:12" x14ac:dyDescent="0.1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</row>
    <row r="80" spans="1:12" x14ac:dyDescent="0.1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</row>
    <row r="81" spans="1:12" x14ac:dyDescent="0.1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</row>
    <row r="82" spans="1:12" x14ac:dyDescent="0.1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</row>
    <row r="83" spans="1:12" x14ac:dyDescent="0.1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</row>
    <row r="84" spans="1:12" x14ac:dyDescent="0.1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</row>
    <row r="85" spans="1:12" x14ac:dyDescent="0.1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</row>
    <row r="86" spans="1:12" x14ac:dyDescent="0.1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</row>
    <row r="87" spans="1:12" x14ac:dyDescent="0.1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</row>
    <row r="88" spans="1:12" x14ac:dyDescent="0.1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</row>
    <row r="89" spans="1:12" x14ac:dyDescent="0.1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</row>
    <row r="90" spans="1:12" x14ac:dyDescent="0.1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</row>
    <row r="91" spans="1:12" x14ac:dyDescent="0.1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</row>
    <row r="92" spans="1:12" x14ac:dyDescent="0.1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</row>
    <row r="93" spans="1:12" x14ac:dyDescent="0.1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</row>
    <row r="94" spans="1:12" x14ac:dyDescent="0.1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</row>
    <row r="95" spans="1:12" x14ac:dyDescent="0.1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</row>
    <row r="96" spans="1:12" x14ac:dyDescent="0.1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</row>
    <row r="97" spans="1:12" x14ac:dyDescent="0.1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</row>
    <row r="98" spans="1:12" x14ac:dyDescent="0.1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</row>
  </sheetData>
  <phoneticPr fontId="11" type="noConversion"/>
  <hyperlinks>
    <hyperlink ref="B39" r:id="rId1"/>
    <hyperlink ref="B38" r:id="rId2"/>
  </hyperlinks>
  <pageMargins left="0.17" right="0.14000000000000001" top="0.28999999999999998" bottom="0.52" header="0.16" footer="0"/>
  <pageSetup scale="97" orientation="portrait" horizontalDpi="300" verticalDpi="300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5" name="Drop Down 1">
              <controlPr defaultSize="0" autoLine="0" autoPict="0">
                <anchor moveWithCells="1">
                  <from>
                    <xdr:col>5</xdr:col>
                    <xdr:colOff>0</xdr:colOff>
                    <xdr:row>8</xdr:row>
                    <xdr:rowOff>12700</xdr:rowOff>
                  </from>
                  <to>
                    <xdr:col>5</xdr:col>
                    <xdr:colOff>787400</xdr:colOff>
                    <xdr:row>9</xdr:row>
                    <xdr:rowOff>0</xdr:rowOff>
                  </to>
                </anchor>
              </controlPr>
            </control>
          </mc:Choice>
          <mc:Fallback/>
        </mc:AlternateContent>
      </controls>
    </mc:Choice>
    <mc:Fallback/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 enableFormatConditionsCalculation="0"/>
  <dimension ref="B2:C4"/>
  <sheetViews>
    <sheetView workbookViewId="0">
      <selection activeCell="C4" sqref="C4"/>
    </sheetView>
  </sheetViews>
  <sheetFormatPr baseColWidth="10" defaultRowHeight="13" x14ac:dyDescent="0.15"/>
  <sheetData>
    <row r="2" spans="2:3" x14ac:dyDescent="0.15">
      <c r="B2">
        <v>2</v>
      </c>
      <c r="C2">
        <v>2</v>
      </c>
    </row>
    <row r="3" spans="2:3" x14ac:dyDescent="0.15">
      <c r="B3" s="33" t="s">
        <v>29</v>
      </c>
      <c r="C3" s="33" t="s">
        <v>29</v>
      </c>
    </row>
    <row r="4" spans="2:3" x14ac:dyDescent="0.15">
      <c r="B4" s="33" t="s">
        <v>44</v>
      </c>
      <c r="C4" s="3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Solicitud</vt:lpstr>
      <vt:lpstr>Comprobación</vt:lpstr>
      <vt:lpstr>Hoja1</vt:lpstr>
    </vt:vector>
  </TitlesOfParts>
  <Company>Compusep S. A. de C.V.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Verónica Patricia Ayala Zavala</dc:creator>
  <cp:lastModifiedBy>Usuario de Microsoft Office</cp:lastModifiedBy>
  <cp:lastPrinted>2011-01-11T21:17:32Z</cp:lastPrinted>
  <dcterms:created xsi:type="dcterms:W3CDTF">2001-07-06T20:02:50Z</dcterms:created>
  <dcterms:modified xsi:type="dcterms:W3CDTF">2017-10-27T16:45:48Z</dcterms:modified>
</cp:coreProperties>
</file>